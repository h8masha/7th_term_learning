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sk-1\Desktop\7TH_TERM_LEARNING\Computer_moduling\"/>
    </mc:Choice>
  </mc:AlternateContent>
  <xr:revisionPtr revIDLastSave="0" documentId="8_{54264B9D-0A67-4DF0-9A66-B4710165A893}" xr6:coauthVersionLast="47" xr6:coauthVersionMax="47" xr10:uidLastSave="{00000000-0000-0000-0000-000000000000}"/>
  <bookViews>
    <workbookView xWindow="-100" yWindow="-100" windowWidth="21467" windowHeight="11443" tabRatio="500" xr2:uid="{00000000-000D-0000-FFFF-FFFF00000000}"/>
  </bookViews>
  <sheets>
    <sheet name="Раскрой фанеры" sheetId="1" r:id="rId1"/>
  </sheets>
  <definedNames>
    <definedName name="solver_adj" localSheetId="0" hidden="1">'Раскрой фанеры'!$G$13:$G$17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'Раскрой фанеры'!$G$13:$G$17</definedName>
    <definedName name="solver_lhs2" localSheetId="0" hidden="1">'Раскрой фанеры'!$G$13:$G$17</definedName>
    <definedName name="solver_lhs3" localSheetId="0" hidden="1">'Раскрой фанеры'!$G$19</definedName>
    <definedName name="solver_lhs4" localSheetId="0" hidden="1">'Раскрой фанеры'!$G$20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'Раскрой фанеры'!$G$24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3</definedName>
    <definedName name="solver_rel3" localSheetId="0" hidden="1">2</definedName>
    <definedName name="solver_rel4" localSheetId="0" hidden="1">3</definedName>
    <definedName name="solver_rhs1" localSheetId="0" hidden="1">"целое"</definedName>
    <definedName name="solver_rhs2" localSheetId="0" hidden="1">0</definedName>
    <definedName name="solver_rhs3" localSheetId="0" hidden="1">'Раскрой фанеры'!$C$9</definedName>
    <definedName name="solver_rhs4" localSheetId="0" hidden="1">'Раскрой фанеры'!$G$21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9" i="1" l="1"/>
  <c r="G21" i="1"/>
  <c r="G20" i="1"/>
  <c r="G8" i="1"/>
  <c r="G7" i="1"/>
  <c r="G6" i="1"/>
  <c r="G22" i="1" l="1"/>
  <c r="E17" i="1"/>
  <c r="F17" i="1" s="1"/>
  <c r="E16" i="1"/>
  <c r="F16" i="1" s="1"/>
  <c r="E15" i="1"/>
  <c r="F15" i="1" s="1"/>
  <c r="E14" i="1"/>
  <c r="F14" i="1" s="1"/>
  <c r="E13" i="1"/>
  <c r="F13" i="1" s="1"/>
  <c r="G24" i="1" l="1"/>
</calcChain>
</file>

<file path=xl/sharedStrings.xml><?xml version="1.0" encoding="utf-8"?>
<sst xmlns="http://schemas.openxmlformats.org/spreadsheetml/2006/main" count="29" uniqueCount="29">
  <si>
    <t>Раскрой листов фанеры — задача линейного программирования (вариант 25)</t>
  </si>
  <si>
    <t>Жёлтые ячейки — исходные данные, их можно менять. Остальное считается формулами.</t>
  </si>
  <si>
    <t>Исходные данные</t>
  </si>
  <si>
    <t>Длина листа, м</t>
  </si>
  <si>
    <t>Ширина листа, м</t>
  </si>
  <si>
    <t>Площадь листа, м²</t>
  </si>
  <si>
    <t>Деталь А, м</t>
  </si>
  <si>
    <t xml:space="preserve">× </t>
  </si>
  <si>
    <t>Площадь детали А, м²</t>
  </si>
  <si>
    <t>Деталь Б, м</t>
  </si>
  <si>
    <t>×</t>
  </si>
  <si>
    <t>Площадь детали Б, м²</t>
  </si>
  <si>
    <t>Всего листов фанеры, шт</t>
  </si>
  <si>
    <t>Условие</t>
  </si>
  <si>
    <t>A ≥ Б</t>
  </si>
  <si>
    <t>Схемы раскроя и переменные (изменяемые ячейки для «Поиска решения»)</t>
  </si>
  <si>
    <t>№ схемы</t>
  </si>
  <si>
    <t>Деталей А в схеме</t>
  </si>
  <si>
    <t>Деталей Б в схеме</t>
  </si>
  <si>
    <t>Использ. площадь, м²</t>
  </si>
  <si>
    <t>Отход с 1 листа, м²</t>
  </si>
  <si>
    <t>x — листов по схеме</t>
  </si>
  <si>
    <t>Итого листов использовано (сумма x)</t>
  </si>
  <si>
    <t>Всего деталей А, шт (A)</t>
  </si>
  <si>
    <t>Всего деталей Б, шт (Б)</t>
  </si>
  <si>
    <t>Проверка A ≥ Б</t>
  </si>
  <si>
    <t>Целевая функция Z — суммарные отходы, м² (→ min)</t>
  </si>
  <si>
    <t>Поиск решения (Данные → Поиск решения): целевая ячейка G24 → минимум;</t>
  </si>
  <si>
    <t>изменяя ячейки G13:G17; ограничения: G19 = C9;  G20 &gt;= G21;  G13:G17 &gt;= 0;  G13:G17 = цел.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</si>
</sst>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theme="1"/>
      <name val="Arial"/>
      <family val="2"/>
      <charset val="204"/>
    </font>
    <font>
      <i/>
      <sz val="9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9.5"/>
      <color theme="1"/>
      <name val="Consolas"/>
      <family val="3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2C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FFF2CC"/>
      </patternFill>
    </fill>
    <fill>
      <patternFill patternType="solid">
        <fgColor theme="6" tint="0.39997558519241921"/>
        <bgColor rgb="FFFFFFCC"/>
      </patternFill>
    </fill>
    <fill>
      <patternFill patternType="solid">
        <fgColor theme="6" tint="0.39997558519241921"/>
        <bgColor rgb="FFFCE4D6"/>
      </patternFill>
    </fill>
    <fill>
      <patternFill patternType="solid">
        <fgColor theme="7" tint="0.39997558519241921"/>
        <bgColor rgb="FF003366"/>
      </patternFill>
    </fill>
    <fill>
      <patternFill patternType="solid">
        <fgColor theme="7" tint="0.39997558519241921"/>
        <bgColor rgb="FF0066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/>
    <xf numFmtId="0" fontId="5" fillId="2" borderId="1" xfId="0" applyFont="1" applyFill="1" applyBorder="1" applyAlignment="1">
      <alignment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2" fontId="7" fillId="5" borderId="1" xfId="0" applyNumberFormat="1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7"/>
  <sheetViews>
    <sheetView showGridLines="0" tabSelected="1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27" sqref="B27:G27"/>
    </sheetView>
  </sheetViews>
  <sheetFormatPr defaultColWidth="8.69921875" defaultRowHeight="14.4" x14ac:dyDescent="0.3"/>
  <cols>
    <col min="1" max="1" width="3" customWidth="1"/>
    <col min="2" max="2" width="30" customWidth="1"/>
    <col min="3" max="4" width="15" customWidth="1"/>
    <col min="5" max="6" width="18" customWidth="1"/>
    <col min="7" max="7" width="20" customWidth="1"/>
  </cols>
  <sheetData>
    <row r="2" spans="2:7" ht="86.95" customHeight="1" x14ac:dyDescent="0.3">
      <c r="B2" s="15" t="s">
        <v>0</v>
      </c>
      <c r="C2" s="15"/>
      <c r="D2" s="15"/>
      <c r="E2" s="15"/>
      <c r="F2" s="15"/>
      <c r="G2" s="15"/>
    </row>
    <row r="3" spans="2:7" ht="34.200000000000003" customHeight="1" x14ac:dyDescent="0.3">
      <c r="B3" s="16" t="s">
        <v>1</v>
      </c>
      <c r="C3" s="16"/>
      <c r="D3" s="16"/>
      <c r="E3" s="16"/>
      <c r="F3" s="16"/>
      <c r="G3" s="16"/>
    </row>
    <row r="4" spans="2:7" x14ac:dyDescent="0.3">
      <c r="B4" s="1"/>
      <c r="C4" s="1"/>
      <c r="D4" s="1"/>
      <c r="E4" s="1"/>
      <c r="F4" s="1"/>
      <c r="G4" s="1"/>
    </row>
    <row r="5" spans="2:7" ht="18" customHeight="1" x14ac:dyDescent="0.3">
      <c r="B5" s="17" t="s">
        <v>2</v>
      </c>
      <c r="C5" s="17"/>
      <c r="D5" s="17"/>
      <c r="E5" s="17"/>
      <c r="F5" s="17"/>
      <c r="G5" s="17"/>
    </row>
    <row r="6" spans="2:7" ht="25.5" x14ac:dyDescent="0.3">
      <c r="B6" s="2" t="s">
        <v>3</v>
      </c>
      <c r="C6" s="5">
        <v>4</v>
      </c>
      <c r="D6" s="2" t="s">
        <v>4</v>
      </c>
      <c r="E6" s="5">
        <v>5</v>
      </c>
      <c r="F6" s="2" t="s">
        <v>5</v>
      </c>
      <c r="G6" s="3">
        <f>C6*E6</f>
        <v>20</v>
      </c>
    </row>
    <row r="7" spans="2:7" ht="25.5" x14ac:dyDescent="0.3">
      <c r="B7" s="2" t="s">
        <v>6</v>
      </c>
      <c r="C7" s="5">
        <v>2</v>
      </c>
      <c r="D7" s="4" t="s">
        <v>7</v>
      </c>
      <c r="E7" s="5">
        <v>2</v>
      </c>
      <c r="F7" s="2" t="s">
        <v>8</v>
      </c>
      <c r="G7" s="3">
        <f>C7*E7</f>
        <v>4</v>
      </c>
    </row>
    <row r="8" spans="2:7" ht="25.5" x14ac:dyDescent="0.3">
      <c r="B8" s="2" t="s">
        <v>9</v>
      </c>
      <c r="C8" s="5">
        <v>1</v>
      </c>
      <c r="D8" s="4" t="s">
        <v>10</v>
      </c>
      <c r="E8" s="5">
        <v>3</v>
      </c>
      <c r="F8" s="2" t="s">
        <v>11</v>
      </c>
      <c r="G8" s="3">
        <f>C8*E8</f>
        <v>3</v>
      </c>
    </row>
    <row r="9" spans="2:7" x14ac:dyDescent="0.3">
      <c r="B9" s="2" t="s">
        <v>12</v>
      </c>
      <c r="C9" s="6">
        <v>5000</v>
      </c>
      <c r="D9" s="1"/>
      <c r="E9" s="1"/>
      <c r="F9" s="2" t="s">
        <v>13</v>
      </c>
      <c r="G9" s="4" t="s">
        <v>14</v>
      </c>
    </row>
    <row r="10" spans="2:7" x14ac:dyDescent="0.3">
      <c r="B10" s="1"/>
      <c r="C10" s="1"/>
      <c r="D10" s="1"/>
      <c r="E10" s="1"/>
      <c r="F10" s="1"/>
      <c r="G10" s="1"/>
    </row>
    <row r="11" spans="2:7" ht="18" customHeight="1" x14ac:dyDescent="0.3">
      <c r="B11" s="17" t="s">
        <v>15</v>
      </c>
      <c r="C11" s="17"/>
      <c r="D11" s="17"/>
      <c r="E11" s="17"/>
      <c r="F11" s="17"/>
      <c r="G11" s="17"/>
    </row>
    <row r="12" spans="2:7" ht="30.05" customHeight="1" x14ac:dyDescent="0.3">
      <c r="B12" s="11" t="s">
        <v>16</v>
      </c>
      <c r="C12" s="11" t="s">
        <v>17</v>
      </c>
      <c r="D12" s="11" t="s">
        <v>18</v>
      </c>
      <c r="E12" s="11" t="s">
        <v>19</v>
      </c>
      <c r="F12" s="11" t="s">
        <v>20</v>
      </c>
      <c r="G12" s="11" t="s">
        <v>21</v>
      </c>
    </row>
    <row r="13" spans="2:7" x14ac:dyDescent="0.3">
      <c r="B13" s="4">
        <v>1</v>
      </c>
      <c r="C13" s="7">
        <v>4</v>
      </c>
      <c r="D13" s="7">
        <v>1</v>
      </c>
      <c r="E13" s="3">
        <f>C13*$G$7+D13*$G$8</f>
        <v>19</v>
      </c>
      <c r="F13" s="3">
        <f>$G$6-E13</f>
        <v>1</v>
      </c>
      <c r="G13" s="6">
        <v>5000</v>
      </c>
    </row>
    <row r="14" spans="2:7" x14ac:dyDescent="0.3">
      <c r="B14" s="4">
        <v>2</v>
      </c>
      <c r="C14" s="7">
        <v>3</v>
      </c>
      <c r="D14" s="7">
        <v>2</v>
      </c>
      <c r="E14" s="3">
        <f>C14*$G$7+D14*$G$8</f>
        <v>18</v>
      </c>
      <c r="F14" s="3">
        <f>$G$6-E14</f>
        <v>2</v>
      </c>
      <c r="G14" s="6">
        <v>0</v>
      </c>
    </row>
    <row r="15" spans="2:7" x14ac:dyDescent="0.3">
      <c r="B15" s="4">
        <v>3</v>
      </c>
      <c r="C15" s="7">
        <v>2</v>
      </c>
      <c r="D15" s="7">
        <v>3</v>
      </c>
      <c r="E15" s="3">
        <f>C15*$G$7+D15*$G$8</f>
        <v>17</v>
      </c>
      <c r="F15" s="3">
        <f>$G$6-E15</f>
        <v>3</v>
      </c>
      <c r="G15" s="6">
        <v>0</v>
      </c>
    </row>
    <row r="16" spans="2:7" x14ac:dyDescent="0.3">
      <c r="B16" s="4">
        <v>4</v>
      </c>
      <c r="C16" s="7">
        <v>1</v>
      </c>
      <c r="D16" s="7">
        <v>4</v>
      </c>
      <c r="E16" s="3">
        <f>C16*$G$7+D16*$G$8</f>
        <v>16</v>
      </c>
      <c r="F16" s="3">
        <f>$G$6-E16</f>
        <v>4</v>
      </c>
      <c r="G16" s="6">
        <v>0</v>
      </c>
    </row>
    <row r="17" spans="2:7" x14ac:dyDescent="0.3">
      <c r="B17" s="4">
        <v>5</v>
      </c>
      <c r="C17" s="7">
        <v>0</v>
      </c>
      <c r="D17" s="7">
        <v>6</v>
      </c>
      <c r="E17" s="3">
        <f>C17*$G$7+D17*$G$8</f>
        <v>18</v>
      </c>
      <c r="F17" s="3">
        <f>$G$6-E17</f>
        <v>2</v>
      </c>
      <c r="G17" s="6">
        <v>0</v>
      </c>
    </row>
    <row r="18" spans="2:7" x14ac:dyDescent="0.3">
      <c r="B18" s="1"/>
      <c r="C18" s="1"/>
      <c r="D18" s="1"/>
      <c r="E18" s="1"/>
      <c r="F18" s="1"/>
      <c r="G18" s="1"/>
    </row>
    <row r="19" spans="2:7" ht="14.95" customHeight="1" x14ac:dyDescent="0.3">
      <c r="B19" s="12" t="s">
        <v>22</v>
      </c>
      <c r="C19" s="12"/>
      <c r="D19" s="12"/>
      <c r="E19" s="12"/>
      <c r="F19" s="12"/>
      <c r="G19" s="9">
        <f>SUM(G13:G17)</f>
        <v>5000</v>
      </c>
    </row>
    <row r="20" spans="2:7" ht="14.95" customHeight="1" x14ac:dyDescent="0.3">
      <c r="B20" s="12" t="s">
        <v>23</v>
      </c>
      <c r="C20" s="12"/>
      <c r="D20" s="12"/>
      <c r="E20" s="12"/>
      <c r="F20" s="12"/>
      <c r="G20" s="9">
        <f>SUMPRODUCT(C13:C17,$G$13:$G$17)</f>
        <v>20000</v>
      </c>
    </row>
    <row r="21" spans="2:7" ht="14.95" customHeight="1" x14ac:dyDescent="0.3">
      <c r="B21" s="12" t="s">
        <v>24</v>
      </c>
      <c r="C21" s="12"/>
      <c r="D21" s="12"/>
      <c r="E21" s="12"/>
      <c r="F21" s="12"/>
      <c r="G21" s="9">
        <f>SUMPRODUCT(D13:D17,$G$13:$G$17)</f>
        <v>5000</v>
      </c>
    </row>
    <row r="22" spans="2:7" ht="14.95" customHeight="1" x14ac:dyDescent="0.3">
      <c r="B22" s="12" t="s">
        <v>25</v>
      </c>
      <c r="C22" s="12"/>
      <c r="D22" s="12"/>
      <c r="E22" s="12"/>
      <c r="F22" s="12"/>
      <c r="G22" s="10" t="str">
        <f>IF(G20&gt;=G21,"Выполнено","НЕ выполнено")</f>
        <v>Выполнено</v>
      </c>
    </row>
    <row r="23" spans="2:7" x14ac:dyDescent="0.3">
      <c r="B23" s="1"/>
      <c r="C23" s="1"/>
      <c r="D23" s="1"/>
      <c r="E23" s="1"/>
      <c r="F23" s="1"/>
      <c r="G23" s="1"/>
    </row>
    <row r="24" spans="2:7" ht="14.95" customHeight="1" x14ac:dyDescent="0.3">
      <c r="B24" s="13" t="s">
        <v>26</v>
      </c>
      <c r="C24" s="13"/>
      <c r="D24" s="13"/>
      <c r="E24" s="13"/>
      <c r="F24" s="13"/>
      <c r="G24" s="8">
        <f>SUMPRODUCT(F13:F17,$G$13:$G$17)</f>
        <v>5000</v>
      </c>
    </row>
    <row r="25" spans="2:7" x14ac:dyDescent="0.3">
      <c r="B25" s="1"/>
      <c r="C25" s="1"/>
      <c r="D25" s="1"/>
      <c r="E25" s="1"/>
      <c r="F25" s="1"/>
      <c r="G25" s="1"/>
    </row>
    <row r="26" spans="2:7" ht="14.95" customHeight="1" x14ac:dyDescent="0.3">
      <c r="B26" s="14" t="s">
        <v>27</v>
      </c>
      <c r="C26" s="14"/>
      <c r="D26" s="14"/>
      <c r="E26" s="14"/>
      <c r="F26" s="14"/>
      <c r="G26" s="14"/>
    </row>
    <row r="27" spans="2:7" ht="14.95" customHeight="1" x14ac:dyDescent="0.3">
      <c r="B27" s="14" t="s">
        <v>28</v>
      </c>
      <c r="C27" s="14"/>
      <c r="D27" s="14"/>
      <c r="E27" s="14"/>
      <c r="F27" s="14"/>
      <c r="G27" s="14"/>
    </row>
  </sheetData>
  <mergeCells count="11">
    <mergeCell ref="B22:F22"/>
    <mergeCell ref="B24:F24"/>
    <mergeCell ref="B26:G26"/>
    <mergeCell ref="B27:G27"/>
    <mergeCell ref="B2:G2"/>
    <mergeCell ref="B3:G3"/>
    <mergeCell ref="B5:G5"/>
    <mergeCell ref="B11:G11"/>
    <mergeCell ref="B19:F19"/>
    <mergeCell ref="B20:F20"/>
    <mergeCell ref="B21:F21"/>
  </mergeCells>
  <dataValidations count="1">
    <dataValidation type="whole" operator="greaterThanOrEqual" errorTitle="Некорректно" error="Целое число ≥ 0" sqref="C13:D17 G13:G17" xr:uid="{00000000-0002-0000-00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Раскрой фанеры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Смирнов Константин</dc:creator>
  <dc:description/>
  <cp:lastModifiedBy>Костя Смирнов</cp:lastModifiedBy>
  <cp:revision>0</cp:revision>
  <dcterms:created xsi:type="dcterms:W3CDTF">2026-09-18T23:08:39Z</dcterms:created>
  <dcterms:modified xsi:type="dcterms:W3CDTF">2026-10-03T10:33:13Z</dcterms:modified>
  <dc:language>en-US</dc:language>
</cp:coreProperties>
</file>